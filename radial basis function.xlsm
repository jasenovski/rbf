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igorm\Desktop\rbf\"/>
    </mc:Choice>
  </mc:AlternateContent>
  <xr:revisionPtr revIDLastSave="0" documentId="13_ncr:1_{EE03309A-077A-4FE2-A27B-D5007A0FD0A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lan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1" l="1"/>
  <c r="D13" i="1"/>
  <c r="D14" i="1"/>
  <c r="D15" i="1"/>
  <c r="D16" i="1"/>
  <c r="D17" i="1"/>
  <c r="D18" i="1"/>
  <c r="D11" i="1"/>
  <c r="K8" i="1"/>
  <c r="D9" i="1"/>
  <c r="D8" i="1"/>
  <c r="D7" i="1"/>
  <c r="D6" i="1"/>
  <c r="D5" i="1"/>
  <c r="D4" i="1"/>
  <c r="D3" i="1"/>
  <c r="D2" i="1"/>
  <c r="M10" i="1" l="1"/>
  <c r="L10" i="1"/>
  <c r="M9" i="1"/>
  <c r="L9" i="1"/>
  <c r="M8" i="1"/>
  <c r="K10" i="1"/>
  <c r="L8" i="1"/>
  <c r="K9" i="1"/>
  <c r="K13" i="1" l="1"/>
  <c r="K14" i="1" s="1"/>
  <c r="M13" i="1" s="1"/>
  <c r="C11" i="1" l="1"/>
  <c r="A12" i="1"/>
  <c r="A13" i="1"/>
  <c r="A14" i="1"/>
  <c r="A15" i="1"/>
  <c r="A16" i="1"/>
  <c r="A17" i="1"/>
  <c r="A18" i="1"/>
  <c r="C18" i="1"/>
  <c r="B12" i="1"/>
  <c r="B13" i="1"/>
  <c r="B14" i="1"/>
  <c r="B15" i="1"/>
  <c r="B16" i="1"/>
  <c r="B17" i="1"/>
  <c r="B18" i="1"/>
  <c r="C12" i="1"/>
  <c r="C13" i="1"/>
  <c r="C14" i="1"/>
  <c r="C15" i="1"/>
  <c r="C16" i="1"/>
  <c r="C17" i="1"/>
  <c r="A11" i="1"/>
  <c r="B11" i="1"/>
  <c r="A21" i="1" l="1" a="1"/>
  <c r="D21" i="1" l="1"/>
  <c r="H21" i="1"/>
  <c r="D22" i="1"/>
  <c r="H22" i="1"/>
  <c r="D23" i="1"/>
  <c r="H23" i="1"/>
  <c r="D24" i="1"/>
  <c r="H24" i="1"/>
  <c r="A21" i="1"/>
  <c r="E21" i="1"/>
  <c r="A22" i="1"/>
  <c r="E22" i="1"/>
  <c r="A23" i="1"/>
  <c r="E23" i="1"/>
  <c r="A24" i="1"/>
  <c r="E24" i="1"/>
  <c r="B21" i="1"/>
  <c r="F21" i="1"/>
  <c r="B22" i="1"/>
  <c r="F22" i="1"/>
  <c r="B23" i="1"/>
  <c r="F23" i="1"/>
  <c r="B24" i="1"/>
  <c r="F24" i="1"/>
  <c r="C21" i="1"/>
  <c r="G21" i="1"/>
  <c r="C22" i="1"/>
  <c r="G22" i="1"/>
  <c r="C23" i="1"/>
  <c r="G23" i="1"/>
  <c r="C24" i="1"/>
  <c r="G24" i="1"/>
  <c r="A27" i="1" l="1" a="1"/>
  <c r="D27" i="1" l="1"/>
  <c r="D28" i="1"/>
  <c r="D29" i="1"/>
  <c r="D30" i="1"/>
  <c r="A27" i="1"/>
  <c r="A28" i="1"/>
  <c r="A29" i="1"/>
  <c r="A30" i="1"/>
  <c r="B27" i="1"/>
  <c r="B28" i="1"/>
  <c r="B29" i="1"/>
  <c r="B30" i="1"/>
  <c r="C27" i="1"/>
  <c r="C28" i="1"/>
  <c r="C29" i="1"/>
  <c r="C30" i="1"/>
  <c r="A33" i="1" l="1" a="1"/>
  <c r="B33" i="1" l="1"/>
  <c r="B34" i="1"/>
  <c r="B35" i="1"/>
  <c r="B36" i="1"/>
  <c r="C33" i="1"/>
  <c r="C34" i="1"/>
  <c r="C35" i="1"/>
  <c r="C36" i="1"/>
  <c r="D33" i="1"/>
  <c r="D34" i="1"/>
  <c r="D35" i="1"/>
  <c r="D36" i="1"/>
  <c r="A33" i="1"/>
  <c r="A34" i="1"/>
  <c r="A35" i="1"/>
  <c r="A36" i="1"/>
  <c r="A39" i="1" l="1" a="1"/>
  <c r="F39" i="1" s="1"/>
  <c r="E42" i="1" l="1"/>
  <c r="H42" i="1"/>
  <c r="G42" i="1"/>
  <c r="F42" i="1"/>
  <c r="A41" i="1"/>
  <c r="C41" i="1"/>
  <c r="B41" i="1"/>
  <c r="E40" i="1"/>
  <c r="H40" i="1"/>
  <c r="G40" i="1"/>
  <c r="F40" i="1"/>
  <c r="D41" i="1"/>
  <c r="A39" i="1"/>
  <c r="D39" i="1"/>
  <c r="C39" i="1"/>
  <c r="B39" i="1"/>
  <c r="A42" i="1"/>
  <c r="A40" i="1"/>
  <c r="D42" i="1"/>
  <c r="D40" i="1"/>
  <c r="C42" i="1"/>
  <c r="C40" i="1"/>
  <c r="B42" i="1"/>
  <c r="B40" i="1"/>
  <c r="E41" i="1"/>
  <c r="E39" i="1"/>
  <c r="H41" i="1"/>
  <c r="H39" i="1"/>
  <c r="G41" i="1"/>
  <c r="G39" i="1"/>
  <c r="F41" i="1"/>
  <c r="A45" i="1" l="1" a="1"/>
  <c r="A46" i="1" s="1"/>
  <c r="A45" i="1" l="1"/>
  <c r="A48" i="1"/>
  <c r="A47" i="1"/>
  <c r="B50" i="1" l="1" a="1"/>
  <c r="D50" i="1" s="1"/>
  <c r="B50" i="1" l="1"/>
  <c r="C50" i="1"/>
  <c r="E50" i="1"/>
  <c r="E6" i="1" l="1"/>
  <c r="F6" i="1" s="1"/>
  <c r="E8" i="1"/>
  <c r="F8" i="1" s="1"/>
  <c r="E2" i="1"/>
  <c r="F2" i="1" s="1"/>
  <c r="E3" i="1"/>
  <c r="F3" i="1" s="1"/>
  <c r="E5" i="1"/>
  <c r="F5" i="1" s="1"/>
  <c r="E4" i="1"/>
  <c r="F4" i="1" s="1"/>
  <c r="E9" i="1"/>
  <c r="F9" i="1" s="1"/>
  <c r="E7" i="1"/>
  <c r="F7" i="1" s="1"/>
  <c r="P2" i="1" l="1"/>
</calcChain>
</file>

<file path=xl/sharedStrings.xml><?xml version="1.0" encoding="utf-8"?>
<sst xmlns="http://schemas.openxmlformats.org/spreadsheetml/2006/main" count="28" uniqueCount="19">
  <si>
    <t>A</t>
  </si>
  <si>
    <t>B</t>
  </si>
  <si>
    <t>C</t>
  </si>
  <si>
    <t>Res</t>
  </si>
  <si>
    <t>Res Radial</t>
  </si>
  <si>
    <t>p1</t>
  </si>
  <si>
    <t>p2</t>
  </si>
  <si>
    <t>p3</t>
  </si>
  <si>
    <t>dist máx.</t>
  </si>
  <si>
    <t>sigma</t>
  </si>
  <si>
    <t>-1/(2*sigma²)</t>
  </si>
  <si>
    <t>b</t>
  </si>
  <si>
    <t>Teste</t>
  </si>
  <si>
    <t>ACERTO</t>
  </si>
  <si>
    <t>Matriz Radial [R]</t>
  </si>
  <si>
    <t>Matriz Radial Transposta [Rt]</t>
  </si>
  <si>
    <t>[Rt * R]</t>
  </si>
  <si>
    <t>[[Rt * R]^-1] * [Rt]</t>
  </si>
  <si>
    <t>[[Rt * R]^-1]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</si>
</sst>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/>
    <xf numFmtId="0" fontId="0" fillId="0" borderId="2" xfId="0" applyBorder="1"/>
    <xf numFmtId="0" fontId="1" fillId="0" borderId="3" xfId="0" applyFont="1" applyBorder="1"/>
    <xf numFmtId="0" fontId="0" fillId="0" borderId="4" xfId="0" applyBorder="1"/>
    <xf numFmtId="0" fontId="1" fillId="0" borderId="1" xfId="0" quotePrefix="1" applyFont="1" applyBorder="1" applyAlignment="1">
      <alignment vertical="center"/>
    </xf>
    <xf numFmtId="0" fontId="0" fillId="0" borderId="2" xfId="0" applyBorder="1" applyAlignment="1">
      <alignment vertical="center"/>
    </xf>
    <xf numFmtId="0" fontId="1" fillId="0" borderId="3" xfId="0" applyFont="1" applyBorder="1" applyAlignment="1">
      <alignment vertical="center"/>
    </xf>
    <xf numFmtId="0" fontId="0" fillId="0" borderId="4" xfId="0" applyBorder="1" applyAlignment="1">
      <alignment vertical="center"/>
    </xf>
    <xf numFmtId="1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8" xfId="0" applyBorder="1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P50"/>
  <sheetViews>
    <sheetView tabSelected="1" zoomScale="130" zoomScaleNormal="130" workbookViewId="0">
      <selection activeCell="K3" sqref="K3"/>
    </sheetView>
  </sheetViews>
  <sheetFormatPr defaultRowHeight="14.4" x14ac:dyDescent="0.3"/>
  <cols>
    <col min="3" max="3" width="9.88671875" customWidth="1"/>
    <col min="5" max="5" width="10" bestFit="1" customWidth="1"/>
    <col min="6" max="6" width="12.44140625" bestFit="1" customWidth="1"/>
    <col min="9" max="9" width="12.88671875" bestFit="1" customWidth="1"/>
    <col min="10" max="10" width="9" bestFit="1" customWidth="1"/>
    <col min="11" max="13" width="13.109375" bestFit="1" customWidth="1"/>
  </cols>
  <sheetData>
    <row r="1" spans="1:16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12</v>
      </c>
      <c r="K1" s="2" t="s">
        <v>0</v>
      </c>
      <c r="L1" s="2" t="s">
        <v>1</v>
      </c>
      <c r="M1" s="2" t="s">
        <v>2</v>
      </c>
      <c r="N1" s="2"/>
      <c r="P1" s="2" t="s">
        <v>13</v>
      </c>
    </row>
    <row r="2" spans="1:16" x14ac:dyDescent="0.3">
      <c r="A2" s="3">
        <v>0</v>
      </c>
      <c r="B2" s="3">
        <v>0</v>
      </c>
      <c r="C2" s="3">
        <v>0</v>
      </c>
      <c r="D2" s="3">
        <f t="shared" ref="D2:D9" si="0">MOD(SUM(A2:C2),2)</f>
        <v>0</v>
      </c>
      <c r="E2" s="12">
        <f>ROUND(SUMPRODUCT(A11:D11,$B$50:$E$50),0)</f>
        <v>0</v>
      </c>
      <c r="F2" s="3">
        <f>IF(E2=D2,1,0)</f>
        <v>1</v>
      </c>
      <c r="J2" s="1" t="s">
        <v>5</v>
      </c>
      <c r="K2" s="3">
        <v>0</v>
      </c>
      <c r="L2" s="3">
        <v>0</v>
      </c>
      <c r="M2" s="3">
        <v>0</v>
      </c>
      <c r="N2" s="3"/>
      <c r="P2" s="13">
        <f>SUM(F2:F17)/COUNTA(F2:F17)</f>
        <v>1</v>
      </c>
    </row>
    <row r="3" spans="1:16" x14ac:dyDescent="0.3">
      <c r="A3" s="3">
        <v>0</v>
      </c>
      <c r="B3" s="3">
        <v>0</v>
      </c>
      <c r="C3" s="3">
        <v>1</v>
      </c>
      <c r="D3" s="3">
        <f t="shared" si="0"/>
        <v>1</v>
      </c>
      <c r="E3" s="12">
        <f t="shared" ref="E3:E9" si="1">ROUND(SUMPRODUCT(A12:D12,$B$50:$E$50),0)</f>
        <v>1</v>
      </c>
      <c r="F3" s="3">
        <f t="shared" ref="F3:F9" si="2">IF(E3=D3,1,0)</f>
        <v>1</v>
      </c>
      <c r="J3" s="1" t="s">
        <v>6</v>
      </c>
      <c r="K3" s="3">
        <v>0.13758716087383005</v>
      </c>
      <c r="L3" s="3">
        <v>0.15101101755477508</v>
      </c>
      <c r="M3" s="3">
        <v>0.15970193092927021</v>
      </c>
    </row>
    <row r="4" spans="1:16" x14ac:dyDescent="0.3">
      <c r="A4" s="3">
        <v>0</v>
      </c>
      <c r="B4" s="3">
        <v>1</v>
      </c>
      <c r="C4" s="3">
        <v>0</v>
      </c>
      <c r="D4" s="3">
        <f t="shared" si="0"/>
        <v>1</v>
      </c>
      <c r="E4" s="12">
        <f t="shared" si="1"/>
        <v>1</v>
      </c>
      <c r="F4" s="3">
        <f t="shared" si="2"/>
        <v>1</v>
      </c>
      <c r="J4" s="1" t="s">
        <v>7</v>
      </c>
      <c r="K4" s="3">
        <v>0.83163162158046433</v>
      </c>
      <c r="L4" s="3">
        <v>0.98011559169506335</v>
      </c>
      <c r="M4" s="3">
        <v>0.70863741375587941</v>
      </c>
    </row>
    <row r="5" spans="1:16" x14ac:dyDescent="0.3">
      <c r="A5" s="3">
        <v>0</v>
      </c>
      <c r="B5" s="3">
        <v>1</v>
      </c>
      <c r="C5" s="3">
        <v>1</v>
      </c>
      <c r="D5" s="3">
        <f t="shared" si="0"/>
        <v>0</v>
      </c>
      <c r="E5" s="12">
        <f t="shared" si="1"/>
        <v>0</v>
      </c>
      <c r="F5" s="3">
        <f t="shared" si="2"/>
        <v>1</v>
      </c>
      <c r="J5" s="1"/>
    </row>
    <row r="6" spans="1:16" x14ac:dyDescent="0.3">
      <c r="A6" s="3">
        <v>1</v>
      </c>
      <c r="B6" s="3">
        <v>0</v>
      </c>
      <c r="C6" s="3">
        <v>0</v>
      </c>
      <c r="D6" s="3">
        <f t="shared" si="0"/>
        <v>1</v>
      </c>
      <c r="E6" s="12">
        <f t="shared" si="1"/>
        <v>1</v>
      </c>
      <c r="F6" s="3">
        <f t="shared" si="2"/>
        <v>1</v>
      </c>
    </row>
    <row r="7" spans="1:16" x14ac:dyDescent="0.3">
      <c r="A7" s="3">
        <v>1</v>
      </c>
      <c r="B7" s="3">
        <v>0</v>
      </c>
      <c r="C7" s="3">
        <v>1</v>
      </c>
      <c r="D7" s="3">
        <f t="shared" si="0"/>
        <v>0</v>
      </c>
      <c r="E7" s="12">
        <f t="shared" si="1"/>
        <v>0</v>
      </c>
      <c r="F7" s="3">
        <f t="shared" si="2"/>
        <v>1</v>
      </c>
      <c r="K7" s="1" t="s">
        <v>5</v>
      </c>
      <c r="L7" s="1" t="s">
        <v>6</v>
      </c>
      <c r="M7" s="1" t="s">
        <v>7</v>
      </c>
      <c r="N7" s="1"/>
    </row>
    <row r="8" spans="1:16" x14ac:dyDescent="0.3">
      <c r="A8" s="3">
        <v>1</v>
      </c>
      <c r="B8" s="3">
        <v>1</v>
      </c>
      <c r="C8" s="3">
        <v>0</v>
      </c>
      <c r="D8" s="3">
        <f t="shared" si="0"/>
        <v>0</v>
      </c>
      <c r="E8" s="12">
        <f t="shared" si="1"/>
        <v>0</v>
      </c>
      <c r="F8" s="3">
        <f t="shared" si="2"/>
        <v>1</v>
      </c>
      <c r="J8" s="1" t="s">
        <v>5</v>
      </c>
      <c r="K8">
        <f>SQRT(SUMXMY2($K$2:$N$2,$K2:$N2))</f>
        <v>0</v>
      </c>
      <c r="L8">
        <f>SQRT(SUMXMY2($K$3:$N$3,$K2:$N2))</f>
        <v>0.25930534318210097</v>
      </c>
      <c r="M8">
        <f>SQRT(SUMXMY2($K$4:$N$4,$K2:$N2))</f>
        <v>1.4677890554405078</v>
      </c>
    </row>
    <row r="9" spans="1:16" x14ac:dyDescent="0.3">
      <c r="A9" s="3">
        <v>1</v>
      </c>
      <c r="B9" s="3">
        <v>1</v>
      </c>
      <c r="C9" s="3">
        <v>1</v>
      </c>
      <c r="D9" s="3">
        <f t="shared" si="0"/>
        <v>1</v>
      </c>
      <c r="E9" s="12">
        <f t="shared" si="1"/>
        <v>1</v>
      </c>
      <c r="F9" s="3">
        <f t="shared" si="2"/>
        <v>1</v>
      </c>
      <c r="J9" s="1" t="s">
        <v>6</v>
      </c>
      <c r="K9">
        <f>SQRT(SUMXMY2($K$2:$N$2,$K3:$N3))</f>
        <v>0.25930534318210097</v>
      </c>
      <c r="L9">
        <f>SQRT(SUMXMY2($K$3:$N$3,$K3:$N3))</f>
        <v>0</v>
      </c>
      <c r="M9">
        <f>SQRT(SUMXMY2($K$4:$N$4,$K3:$N3))</f>
        <v>1.2126179417293783</v>
      </c>
    </row>
    <row r="10" spans="1:16" x14ac:dyDescent="0.3">
      <c r="A10" s="14" t="s">
        <v>14</v>
      </c>
      <c r="B10" s="15"/>
      <c r="C10" s="15"/>
      <c r="D10" s="16"/>
      <c r="E10" s="12"/>
      <c r="F10" s="3"/>
      <c r="J10" s="1" t="s">
        <v>7</v>
      </c>
      <c r="K10">
        <f>SQRT(SUMXMY2($K$2:$N$2,$K4:$N4))</f>
        <v>1.4677890554405078</v>
      </c>
      <c r="L10">
        <f>SQRT(SUMXMY2($K$3:$N$3,$K4:$N4))</f>
        <v>1.2126179417293783</v>
      </c>
      <c r="M10">
        <f>SQRT(SUMXMY2($K$4:$N$4,$K4:$N4))</f>
        <v>0</v>
      </c>
    </row>
    <row r="11" spans="1:16" x14ac:dyDescent="0.3">
      <c r="A11" s="17">
        <f t="shared" ref="A11:A18" si="3">EXP($M$13*SUMXMY2($A2:$C2,$K$2:$M$2))</f>
        <v>1</v>
      </c>
      <c r="B11" s="18">
        <f t="shared" ref="B11:B18" si="4">EXP($M$13*SUMXMY2($A2:$C2,$K$3:$M$3))</f>
        <v>0.91061926149511074</v>
      </c>
      <c r="C11" s="18">
        <f t="shared" ref="C11:C18" si="5">EXP($M$13*SUMXMY2($A2:$C2,$K$4:$M$4))</f>
        <v>4.9787068367863944E-2</v>
      </c>
      <c r="D11" s="19">
        <f>$M$14</f>
        <v>1</v>
      </c>
      <c r="E11" s="12"/>
      <c r="F11" s="3"/>
      <c r="J11" s="1"/>
    </row>
    <row r="12" spans="1:16" ht="15" thickBot="1" x14ac:dyDescent="0.35">
      <c r="A12" s="17">
        <f t="shared" si="3"/>
        <v>0.24845438130421468</v>
      </c>
      <c r="B12" s="18">
        <f t="shared" si="4"/>
        <v>0.35297507916296939</v>
      </c>
      <c r="C12" s="18">
        <f t="shared" si="5"/>
        <v>8.9015349243013436E-2</v>
      </c>
      <c r="D12" s="19">
        <f t="shared" ref="D12:D18" si="6">$M$14</f>
        <v>1</v>
      </c>
      <c r="E12" s="12"/>
      <c r="F12" s="3"/>
    </row>
    <row r="13" spans="1:16" x14ac:dyDescent="0.3">
      <c r="A13" s="17">
        <f t="shared" si="3"/>
        <v>0.24845438130421468</v>
      </c>
      <c r="B13" s="18">
        <f t="shared" si="4"/>
        <v>0.3445341905770814</v>
      </c>
      <c r="C13" s="18">
        <f t="shared" si="5"/>
        <v>0.18959180881042009</v>
      </c>
      <c r="D13" s="19">
        <f t="shared" si="6"/>
        <v>1</v>
      </c>
      <c r="E13" s="12"/>
      <c r="F13" s="3"/>
      <c r="J13" s="4" t="s">
        <v>8</v>
      </c>
      <c r="K13" s="5">
        <f>MAX(K8:N11)</f>
        <v>1.4677890554405078</v>
      </c>
      <c r="L13" s="8" t="s">
        <v>10</v>
      </c>
      <c r="M13" s="9">
        <f>-1/(2*K14^2)</f>
        <v>-1.3924960265382189</v>
      </c>
    </row>
    <row r="14" spans="1:16" ht="15" thickBot="1" x14ac:dyDescent="0.35">
      <c r="A14" s="17">
        <f t="shared" si="3"/>
        <v>6.1729579589260106E-2</v>
      </c>
      <c r="B14" s="18">
        <f t="shared" si="4"/>
        <v>0.13354866115353722</v>
      </c>
      <c r="C14" s="18">
        <f t="shared" si="5"/>
        <v>0.33897519231655548</v>
      </c>
      <c r="D14" s="19">
        <f t="shared" si="6"/>
        <v>1</v>
      </c>
      <c r="E14" s="12"/>
      <c r="F14" s="3"/>
      <c r="J14" s="6" t="s">
        <v>9</v>
      </c>
      <c r="K14" s="7">
        <f>K13/SQRT(2*COUNTA(J2:J5))</f>
        <v>0.59922237264515554</v>
      </c>
      <c r="L14" s="10" t="s">
        <v>11</v>
      </c>
      <c r="M14" s="11">
        <v>1</v>
      </c>
    </row>
    <row r="15" spans="1:16" x14ac:dyDescent="0.3">
      <c r="A15" s="17">
        <f t="shared" si="3"/>
        <v>0.24845438130421468</v>
      </c>
      <c r="B15" s="18">
        <f t="shared" si="4"/>
        <v>0.33189146350344834</v>
      </c>
      <c r="C15" s="18">
        <f t="shared" si="5"/>
        <v>0.12537969705554997</v>
      </c>
      <c r="D15" s="19">
        <f t="shared" si="6"/>
        <v>1</v>
      </c>
      <c r="E15" s="12"/>
      <c r="F15" s="3"/>
    </row>
    <row r="16" spans="1:16" x14ac:dyDescent="0.3">
      <c r="A16" s="17">
        <f t="shared" si="3"/>
        <v>6.1729579589260106E-2</v>
      </c>
      <c r="B16" s="18">
        <f t="shared" si="4"/>
        <v>0.12864807560878994</v>
      </c>
      <c r="C16" s="18">
        <f t="shared" si="5"/>
        <v>0.22416900386500588</v>
      </c>
      <c r="D16" s="19">
        <f t="shared" si="6"/>
        <v>1</v>
      </c>
      <c r="E16" s="12"/>
      <c r="F16" s="3"/>
    </row>
    <row r="17" spans="1:15" x14ac:dyDescent="0.3">
      <c r="A17" s="17">
        <f t="shared" si="3"/>
        <v>6.1729579589260106E-2</v>
      </c>
      <c r="B17" s="18">
        <f t="shared" si="4"/>
        <v>0.1255716429167773</v>
      </c>
      <c r="C17" s="18">
        <f t="shared" si="5"/>
        <v>0.47745256614080256</v>
      </c>
      <c r="D17" s="19">
        <f t="shared" si="6"/>
        <v>1</v>
      </c>
      <c r="E17" s="12"/>
      <c r="F17" s="3"/>
    </row>
    <row r="18" spans="1:15" x14ac:dyDescent="0.3">
      <c r="A18" s="20">
        <f t="shared" si="3"/>
        <v>1.5336984505018901E-2</v>
      </c>
      <c r="B18" s="21">
        <f t="shared" si="4"/>
        <v>4.8674196201824539E-2</v>
      </c>
      <c r="C18" s="21">
        <f t="shared" si="5"/>
        <v>0.85364750958964641</v>
      </c>
      <c r="D18" s="22">
        <f t="shared" si="6"/>
        <v>1</v>
      </c>
      <c r="O18" s="1"/>
    </row>
    <row r="20" spans="1:15" x14ac:dyDescent="0.3">
      <c r="A20" s="14" t="s">
        <v>15</v>
      </c>
      <c r="B20" s="15"/>
      <c r="C20" s="15"/>
      <c r="D20" s="15"/>
      <c r="E20" s="15"/>
      <c r="F20" s="15"/>
      <c r="G20" s="15"/>
      <c r="H20" s="16"/>
    </row>
    <row r="21" spans="1:15" x14ac:dyDescent="0.3">
      <c r="A21" s="17">
        <f t="array" ref="A21:H24">TRANSPOSE(A11:D18)</f>
        <v>1</v>
      </c>
      <c r="B21" s="18">
        <v>0.24845438130421468</v>
      </c>
      <c r="C21" s="18">
        <v>0.24845438130421468</v>
      </c>
      <c r="D21" s="18">
        <v>6.1729579589260106E-2</v>
      </c>
      <c r="E21" s="18">
        <v>0.24845438130421468</v>
      </c>
      <c r="F21" s="18">
        <v>6.1729579589260106E-2</v>
      </c>
      <c r="G21" s="18">
        <v>6.1729579589260106E-2</v>
      </c>
      <c r="H21" s="19">
        <v>1.5336984505018901E-2</v>
      </c>
    </row>
    <row r="22" spans="1:15" x14ac:dyDescent="0.3">
      <c r="A22" s="17">
        <v>0.91061926149511074</v>
      </c>
      <c r="B22" s="18">
        <v>0.35297507916296939</v>
      </c>
      <c r="C22" s="18">
        <v>0.3445341905770814</v>
      </c>
      <c r="D22" s="18">
        <v>0.13354866115353722</v>
      </c>
      <c r="E22" s="18">
        <v>0.33189146350344834</v>
      </c>
      <c r="F22" s="18">
        <v>0.12864807560878994</v>
      </c>
      <c r="G22" s="18">
        <v>0.1255716429167773</v>
      </c>
      <c r="H22" s="19">
        <v>4.8674196201824539E-2</v>
      </c>
    </row>
    <row r="23" spans="1:15" x14ac:dyDescent="0.3">
      <c r="A23" s="17">
        <v>4.9787068367863944E-2</v>
      </c>
      <c r="B23" s="18">
        <v>8.9015349243013436E-2</v>
      </c>
      <c r="C23" s="18">
        <v>0.18959180881042009</v>
      </c>
      <c r="D23" s="18">
        <v>0.33897519231655548</v>
      </c>
      <c r="E23" s="18">
        <v>0.12537969705554997</v>
      </c>
      <c r="F23" s="18">
        <v>0.22416900386500588</v>
      </c>
      <c r="G23" s="18">
        <v>0.47745256614080256</v>
      </c>
      <c r="H23" s="19">
        <v>0.85364750958964641</v>
      </c>
    </row>
    <row r="24" spans="1:15" x14ac:dyDescent="0.3">
      <c r="A24" s="20">
        <v>1</v>
      </c>
      <c r="B24" s="21">
        <v>1</v>
      </c>
      <c r="C24" s="21">
        <v>1</v>
      </c>
      <c r="D24" s="21">
        <v>1</v>
      </c>
      <c r="E24" s="21">
        <v>1</v>
      </c>
      <c r="F24" s="21">
        <v>1</v>
      </c>
      <c r="G24" s="21">
        <v>1</v>
      </c>
      <c r="H24" s="22">
        <v>1</v>
      </c>
    </row>
    <row r="26" spans="1:15" x14ac:dyDescent="0.3">
      <c r="A26" s="14" t="s">
        <v>16</v>
      </c>
      <c r="B26" s="15"/>
      <c r="C26" s="15"/>
      <c r="D26" s="16"/>
    </row>
    <row r="27" spans="1:15" x14ac:dyDescent="0.3">
      <c r="A27" s="17">
        <f t="array" ref="A27:D30">MMULT(A21:H24,A11:D18)</f>
        <v>1.1968555848502878</v>
      </c>
      <c r="B27" s="18">
        <v>1.1910616782357704</v>
      </c>
      <c r="C27" s="18">
        <v>0.22748735179643095</v>
      </c>
      <c r="D27" s="19">
        <v>1.9458888671854428</v>
      </c>
    </row>
    <row r="28" spans="1:15" x14ac:dyDescent="0.3">
      <c r="A28" s="17">
        <v>1.1910616782357704</v>
      </c>
      <c r="B28" s="18">
        <v>1.2351975850735306</v>
      </c>
      <c r="C28" s="18">
        <v>0.35930427848345958</v>
      </c>
      <c r="D28" s="19">
        <v>2.3764625706195392</v>
      </c>
    </row>
    <row r="29" spans="1:15" x14ac:dyDescent="0.3">
      <c r="A29" s="17">
        <v>0.22748735179643095</v>
      </c>
      <c r="B29" s="18">
        <v>0.35930427848345958</v>
      </c>
      <c r="C29" s="18">
        <v>1.1838985538221882</v>
      </c>
      <c r="D29" s="19">
        <v>2.3480181953888577</v>
      </c>
    </row>
    <row r="30" spans="1:15" x14ac:dyDescent="0.3">
      <c r="A30" s="20">
        <v>1.9458888671854428</v>
      </c>
      <c r="B30" s="21">
        <v>2.3764625706195392</v>
      </c>
      <c r="C30" s="21">
        <v>2.3480181953888577</v>
      </c>
      <c r="D30" s="22">
        <v>8</v>
      </c>
    </row>
    <row r="32" spans="1:15" x14ac:dyDescent="0.3">
      <c r="A32" s="14" t="s">
        <v>18</v>
      </c>
      <c r="B32" s="15"/>
      <c r="C32" s="15"/>
      <c r="D32" s="16"/>
    </row>
    <row r="33" spans="1:8" x14ac:dyDescent="0.3">
      <c r="A33" s="17">
        <f t="array" ref="A33:D36">MINVERSE(A27:D30)</f>
        <v>192.37227405974284</v>
      </c>
      <c r="B33" s="18">
        <v>-244.03457693752151</v>
      </c>
      <c r="C33" s="18">
        <v>-33.198239709295756</v>
      </c>
      <c r="D33" s="19">
        <v>35.444255309162614</v>
      </c>
    </row>
    <row r="34" spans="1:8" x14ac:dyDescent="0.3">
      <c r="A34" s="17">
        <v>-244.03457693752148</v>
      </c>
      <c r="B34" s="18">
        <v>312.92585271378761</v>
      </c>
      <c r="C34" s="18">
        <v>44.40701608943111</v>
      </c>
      <c r="D34" s="19">
        <v>-46.632611457924568</v>
      </c>
    </row>
    <row r="35" spans="1:8" x14ac:dyDescent="0.3">
      <c r="A35" s="17">
        <v>-33.198239709295748</v>
      </c>
      <c r="B35" s="18">
        <v>44.407016089431103</v>
      </c>
      <c r="C35" s="18">
        <v>9.3179304304516339</v>
      </c>
      <c r="D35" s="19">
        <v>-7.8512745928785446</v>
      </c>
    </row>
    <row r="36" spans="1:8" x14ac:dyDescent="0.3">
      <c r="A36" s="20">
        <v>35.444255309162592</v>
      </c>
      <c r="B36" s="21">
        <v>-46.632611457924547</v>
      </c>
      <c r="C36" s="21">
        <v>-7.8512745928785437</v>
      </c>
      <c r="D36" s="22">
        <v>7.6606261861620757</v>
      </c>
    </row>
    <row r="38" spans="1:8" x14ac:dyDescent="0.3">
      <c r="A38" s="14" t="s">
        <v>17</v>
      </c>
      <c r="B38" s="15"/>
      <c r="C38" s="15"/>
      <c r="D38" s="15"/>
      <c r="E38" s="15"/>
      <c r="F38" s="15"/>
      <c r="G38" s="15"/>
      <c r="H38" s="16"/>
    </row>
    <row r="39" spans="1:8" x14ac:dyDescent="0.3">
      <c r="A39" s="17">
        <f t="array" ref="A39:H42">MMULT(A33:D36,A21:H24)</f>
        <v>3.9411001086883779</v>
      </c>
      <c r="B39" s="18">
        <v>-5.8532873742387892</v>
      </c>
      <c r="C39" s="18">
        <v>-7.1323801130359215</v>
      </c>
      <c r="D39" s="18">
        <v>3.4754441962949585</v>
      </c>
      <c r="E39" s="18">
        <v>-1.9153884820070601</v>
      </c>
      <c r="F39" s="18">
        <v>8.4827198807786246</v>
      </c>
      <c r="G39" s="18">
        <v>0.82490741639444565</v>
      </c>
      <c r="H39" s="19">
        <v>-1.8231156328744547</v>
      </c>
    </row>
    <row r="40" spans="1:8" x14ac:dyDescent="0.3">
      <c r="A40" s="17">
        <v>-3.4999843484316244</v>
      </c>
      <c r="B40" s="18">
        <v>7.1438623920574571</v>
      </c>
      <c r="C40" s="18">
        <v>8.9687905918842361</v>
      </c>
      <c r="D40" s="18">
        <v>-4.8530578081461186</v>
      </c>
      <c r="E40" s="18">
        <v>2.1610861619050468</v>
      </c>
      <c r="F40" s="18">
        <v>-11.484777976267253</v>
      </c>
      <c r="G40" s="18">
        <v>-1.1999060745621364</v>
      </c>
      <c r="H40" s="19">
        <v>2.7639870615601936</v>
      </c>
    </row>
    <row r="41" spans="1:8" x14ac:dyDescent="0.3">
      <c r="A41" s="17">
        <v>-0.14771766622714466</v>
      </c>
      <c r="B41" s="18">
        <v>0.40448615080632244</v>
      </c>
      <c r="C41" s="18">
        <v>0.96681592875392575</v>
      </c>
      <c r="D41" s="18">
        <v>-0.81154316901511425</v>
      </c>
      <c r="E41" s="18">
        <v>-0.19293384594344865</v>
      </c>
      <c r="F41" s="18">
        <v>-2.0989196271252002</v>
      </c>
      <c r="G41" s="18">
        <v>0.12454378928538112</v>
      </c>
      <c r="H41" s="19">
        <v>1.7552684394652509</v>
      </c>
    </row>
    <row r="42" spans="1:8" x14ac:dyDescent="0.3">
      <c r="A42" s="20">
        <v>0.24943534299045744</v>
      </c>
      <c r="B42" s="21">
        <v>-0.69212696103609961</v>
      </c>
      <c r="C42" s="21">
        <v>-1.0881596848940083</v>
      </c>
      <c r="D42" s="21">
        <v>0.95947502390106987</v>
      </c>
      <c r="E42" s="21">
        <v>5.5506160753946432E-3</v>
      </c>
      <c r="F42" s="21">
        <v>2.08937703602047</v>
      </c>
      <c r="G42" s="21">
        <v>0.24424032913381843</v>
      </c>
      <c r="H42" s="22">
        <v>-0.76779170219106785</v>
      </c>
    </row>
    <row r="45" spans="1:8" x14ac:dyDescent="0.3">
      <c r="A45">
        <f t="array" ref="A45:A48">MMULT(A39:H42,D2:D9)</f>
        <v>-16.724171602156225</v>
      </c>
    </row>
    <row r="46" spans="1:8" x14ac:dyDescent="0.3">
      <c r="A46">
        <v>21.037726207406934</v>
      </c>
    </row>
    <row r="47" spans="1:8" x14ac:dyDescent="0.3">
      <c r="A47">
        <v>2.9336366730820505</v>
      </c>
    </row>
    <row r="48" spans="1:8" x14ac:dyDescent="0.3">
      <c r="A48">
        <v>-2.5425277320457811</v>
      </c>
    </row>
    <row r="50" spans="2:5" x14ac:dyDescent="0.3">
      <c r="B50">
        <f t="array" ref="B50:E50">TRANSPOSE(A45:A48)</f>
        <v>-16.724171602156225</v>
      </c>
      <c r="C50">
        <v>21.037726207406934</v>
      </c>
      <c r="D50">
        <v>2.9336366730820505</v>
      </c>
      <c r="E50">
        <v>-2.5425277320457811</v>
      </c>
    </row>
  </sheetData>
  <mergeCells count="5">
    <mergeCell ref="A10:D10"/>
    <mergeCell ref="A20:H20"/>
    <mergeCell ref="A26:D26"/>
    <mergeCell ref="A32:D32"/>
    <mergeCell ref="A38:H38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Matheus Jasenovski</dc:creator>
  <cp:lastModifiedBy>Igor Jasenovski</cp:lastModifiedBy>
  <dcterms:created xsi:type="dcterms:W3CDTF">2021-02-18T12:39:43Z</dcterms:created>
  <dcterms:modified xsi:type="dcterms:W3CDTF">2021-12-27T15:35:41Z</dcterms:modified>
</cp:coreProperties>
</file>